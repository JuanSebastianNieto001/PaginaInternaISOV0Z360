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1"/>
  </bookViews>
  <sheets>
    <sheet name="Dashboard &amp; Resumen" sheetId="1" r:id="rId1"/>
    <sheet name="Listado Maestro" sheetId="2" r:id="rId2"/>
    <sheet name="GUIA" sheetId="4" r:id="rId3"/>
    <sheet name="Listas de Contro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<sst xmlns="http://schemas.openxmlformats.org/spreadsheetml/2006/main" count="437" uniqueCount="165">
  <si>
    <t>DASHBOARD EJECUTIVO - CONTROL DE INFORMACIÓN DOCUMENTADA</t>
  </si>
  <si>
    <t>Resumen estadístico de la documentación del SGI (ISO 9001, ISO 45001, ISO 27001)</t>
  </si>
  <si>
    <t>TOTAL DOCUMENTOS</t>
  </si>
  <si>
    <t>DOCS VIGENTES</t>
  </si>
  <si>
    <t>EN REVISIÓN / BORRADOR</t>
  </si>
  <si>
    <t>Distribución por Norma Aplicable</t>
  </si>
  <si>
    <t>Estado de la Documentación</t>
  </si>
  <si>
    <t>Norma</t>
  </si>
  <si>
    <t>Cantidad de Docs</t>
  </si>
  <si>
    <t>% del Total</t>
  </si>
  <si>
    <t>Estado</t>
  </si>
  <si>
    <t>Cantidad</t>
  </si>
  <si>
    <t>ISO 9001 (Calidad)</t>
  </si>
  <si>
    <t>Vigente</t>
  </si>
  <si>
    <t>ISO 45001 (SST)</t>
  </si>
  <si>
    <t>En Revisión</t>
  </si>
  <si>
    <t>ISO 27001 (Seguridad Info)</t>
  </si>
  <si>
    <t>En Aprobación</t>
  </si>
  <si>
    <t>SGI (9001 + 45001 + 27001)</t>
  </si>
  <si>
    <t>Obsoleto</t>
  </si>
  <si>
    <t>Total Documentos Analizados</t>
  </si>
  <si>
    <t>Borrador</t>
  </si>
  <si>
    <t>Total</t>
  </si>
  <si>
    <t>SISTEMA DE GESTIÓN INTEGRADO (ISO 9001 / ISO 45001 / ISO 27001)</t>
  </si>
  <si>
    <t>LISTADO MAESTRO DE DOCUMENTOS Y CONTROL DE INFORMACIÓN DOCUMENTADA</t>
  </si>
  <si>
    <t>Código</t>
  </si>
  <si>
    <t>Título del Documento</t>
  </si>
  <si>
    <t>Tipo de Documento</t>
  </si>
  <si>
    <t>Proceso / Área</t>
  </si>
  <si>
    <t>Norma Aplicable</t>
  </si>
  <si>
    <t>Versión</t>
  </si>
  <si>
    <t>Fecha Aprobación</t>
  </si>
  <si>
    <t>Próxima Revisión</t>
  </si>
  <si>
    <t>Elaboró</t>
  </si>
  <si>
    <t>Revisó / Aprobó</t>
  </si>
  <si>
    <t>Clasificación Info (27001)</t>
  </si>
  <si>
    <t>Soporte / Ubicación</t>
  </si>
  <si>
    <t>Retención / Archivo</t>
  </si>
  <si>
    <t>MGD-SGI-001</t>
  </si>
  <si>
    <t>Manual del Sistema de Gestión Integrado</t>
  </si>
  <si>
    <t>Manual (MGD)</t>
  </si>
  <si>
    <t>SGI: Sistema de Gestion Integrado</t>
  </si>
  <si>
    <t>1.0</t>
  </si>
  <si>
    <t>Dir. Calidad</t>
  </si>
  <si>
    <t>Comité de Dirección</t>
  </si>
  <si>
    <t>Uso Interno</t>
  </si>
  <si>
    <t>Digital (Servidor / Intranet)</t>
  </si>
  <si>
    <t>Permanente</t>
  </si>
  <si>
    <t>POL-SGI-001</t>
  </si>
  <si>
    <t>Política Integrada de Calidad, SST y Seguridad Info</t>
  </si>
  <si>
    <t>Política (POL)</t>
  </si>
  <si>
    <t>Pública</t>
  </si>
  <si>
    <t>Digital / Cartelera</t>
  </si>
  <si>
    <t>Mientras esté vigente + 5 años</t>
  </si>
  <si>
    <t>MGD-SGI-002</t>
  </si>
  <si>
    <t>Manual de Gestion Documental Integrado</t>
  </si>
  <si>
    <t>MGD-SGI-003</t>
  </si>
  <si>
    <t>Manual de Asignacion de Responsabilidades</t>
  </si>
  <si>
    <t>FTM-SGI-001</t>
  </si>
  <si>
    <t>Acta de constitución, conformación y/o modificación del comité de calidad del sistema de gestión integrado</t>
  </si>
  <si>
    <t>Formato (FTM)</t>
  </si>
  <si>
    <t>Gerencia</t>
  </si>
  <si>
    <t>3 años</t>
  </si>
  <si>
    <t>FTM-SGI-002</t>
  </si>
  <si>
    <t>Acta de reunión</t>
  </si>
  <si>
    <t>FTM-SGI-003</t>
  </si>
  <si>
    <t>Acta de asignación de responsabilidades del SGI</t>
  </si>
  <si>
    <t>FTM-SGI-004</t>
  </si>
  <si>
    <t xml:space="preserve">Informe de resultados </t>
  </si>
  <si>
    <t>REG-SGI-001</t>
  </si>
  <si>
    <t>Control de Asistencia SGI</t>
  </si>
  <si>
    <t>Registro (REG)</t>
  </si>
  <si>
    <t>FTM-SGI-005</t>
  </si>
  <si>
    <t>Plan de Mejora</t>
  </si>
  <si>
    <t>1.1</t>
  </si>
  <si>
    <t>ADM: Administración y Gerencia</t>
  </si>
  <si>
    <t>Gerencia General</t>
  </si>
  <si>
    <t>Coord. SGI</t>
  </si>
  <si>
    <t>Procedimiento de Control de Información Documentada</t>
  </si>
  <si>
    <t>Procedimiento (PRC)</t>
  </si>
  <si>
    <t>Gestor documental</t>
  </si>
  <si>
    <t>Digital (Cloud SGI)</t>
  </si>
  <si>
    <t>5 años tras obsoleto</t>
  </si>
  <si>
    <t>Procedimiento de Auditorías Internas Combinadas</t>
  </si>
  <si>
    <t>AUD: Auditoría Interna</t>
  </si>
  <si>
    <t>Auditor Líder</t>
  </si>
  <si>
    <t>Procedimiento de Gestión de No Conformidades y Acción Correctiva</t>
  </si>
  <si>
    <t>Analista Calidad</t>
  </si>
  <si>
    <t>Software QMS</t>
  </si>
  <si>
    <t>5 años</t>
  </si>
  <si>
    <t>Procedimiento de Evaluación de Proveedores y Contratistas</t>
  </si>
  <si>
    <t>FIN: Finanzas y Compras</t>
  </si>
  <si>
    <t>Jefe de Compras</t>
  </si>
  <si>
    <t>Dir. Operaciones</t>
  </si>
  <si>
    <t>ERP / Digital</t>
  </si>
  <si>
    <t>Procedimiento de Identificación de Peligros y Evaluación de Riesgos (IPERC)</t>
  </si>
  <si>
    <t>RRHH: Recursos Humanos y SST</t>
  </si>
  <si>
    <t>Especialista SST</t>
  </si>
  <si>
    <t>Comité SST</t>
  </si>
  <si>
    <t>Digital / Impreso Físico</t>
  </si>
  <si>
    <t>20 años (Exigencia legal)</t>
  </si>
  <si>
    <t>Procedimiento de Respuesta ante Emergencias y Evacuación</t>
  </si>
  <si>
    <t>Brigada / SST</t>
  </si>
  <si>
    <t>Digital / Carteleras</t>
  </si>
  <si>
    <t>Procedimiento de Investigación de Incidentes y Accidentes</t>
  </si>
  <si>
    <t>Coord. SST</t>
  </si>
  <si>
    <t>Restringida / Secreta</t>
  </si>
  <si>
    <t>Digital (Acceso restringido)</t>
  </si>
  <si>
    <t>10 años</t>
  </si>
  <si>
    <t>Procedimiento de Clasificación y Manejo de la Información</t>
  </si>
  <si>
    <t>SINF: Sistemas de Información y TI</t>
  </si>
  <si>
    <t>CISO</t>
  </si>
  <si>
    <t>Comité Seguridad Info</t>
  </si>
  <si>
    <t>Confidencial</t>
  </si>
  <si>
    <t>Portal de Políticas TI</t>
  </si>
  <si>
    <t>Procedimiento de Control de Acceso Lógico y Físico</t>
  </si>
  <si>
    <t>Admin de Sistemas</t>
  </si>
  <si>
    <t>Repositorio Seguro TI</t>
  </si>
  <si>
    <t>Plan de Continuidad del Negocio (BCP) y Recuperación ante Desastres (DRP)</t>
  </si>
  <si>
    <t>Plan (PLN)</t>
  </si>
  <si>
    <t>ISO 27001 / ISO 9001</t>
  </si>
  <si>
    <t>CISO / Ops</t>
  </si>
  <si>
    <t>Vault Seguro Digital</t>
  </si>
  <si>
    <t>Instructivo de Uso Correcto de Equipos de Protección Individual (EPI)</t>
  </si>
  <si>
    <t>Instructivo (IN)</t>
  </si>
  <si>
    <t>Supervisor SST</t>
  </si>
  <si>
    <t>Jefe de Planta</t>
  </si>
  <si>
    <t>Físico en Planta / Intranet</t>
  </si>
  <si>
    <t>Until superseded</t>
  </si>
  <si>
    <t>Instructivo para Gestión de Contraseñas y Autenticación Múltiple (MFA)</t>
  </si>
  <si>
    <t>Soporte TI</t>
  </si>
  <si>
    <t>Intranet TI</t>
  </si>
  <si>
    <t>Formato de Ficha de Registro de No Conformidad</t>
  </si>
  <si>
    <t>Formato (FT)</t>
  </si>
  <si>
    <t>Formato de Inspección Planeada de Seguridad</t>
  </si>
  <si>
    <t>Inspector SST</t>
  </si>
  <si>
    <t>App Móvil / Digital</t>
  </si>
  <si>
    <t>Formato de Declaración de Aplicabilidad (SoA)</t>
  </si>
  <si>
    <t>Matriz (MTZ)</t>
  </si>
  <si>
    <t>Oficial Seguridad</t>
  </si>
  <si>
    <t>Cloud SGI</t>
  </si>
  <si>
    <t>Registro de Capacitación e Inducción de Personal</t>
  </si>
  <si>
    <t>Registro (RG)</t>
  </si>
  <si>
    <t>Generalista RH</t>
  </si>
  <si>
    <t>Jefe RH</t>
  </si>
  <si>
    <t>Carpeta RH / Digital</t>
  </si>
  <si>
    <t>Matriz de Identificación de Requisitos Legales y Otros</t>
  </si>
  <si>
    <t>LEG: Legal y Cumplimiento</t>
  </si>
  <si>
    <t>Oficial Cumplimiento</t>
  </si>
  <si>
    <t>Gerencia Legal</t>
  </si>
  <si>
    <t>Digital Shared Drive</t>
  </si>
  <si>
    <t>Política de Escritorios Limpios y Pantallas Limpias</t>
  </si>
  <si>
    <t>Analista Ciberseguridad</t>
  </si>
  <si>
    <t>Archivado Digital</t>
  </si>
  <si>
    <t>Histórico</t>
  </si>
  <si>
    <t>TABLAS DE CONTROL DE DATOS</t>
  </si>
  <si>
    <t>Estado del Documento</t>
  </si>
  <si>
    <t>Clasificación de Seguridad (ISO 27001)</t>
  </si>
  <si>
    <t>MKT: Marketing y Ventas</t>
  </si>
  <si>
    <t>OPE: Operaciones (Campañas)</t>
  </si>
  <si>
    <t>Instructivo (INS)</t>
  </si>
  <si>
    <t>ISO 9001 / ISO 45001</t>
  </si>
  <si>
    <t>ISO 9001 / ISO 27001</t>
  </si>
  <si>
    <t>ISO 45001 / ISO 27001</t>
  </si>
  <si>
    <t>Anexo (ANX)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</si>
</sst>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%"/>
  </numFmts>
  <fonts count="32">
    <font>
      <sz val="11"/>
      <color theme="1"/>
      <name val="Calibri"/>
      <charset val="134"/>
      <scheme val="minor"/>
    </font>
    <font>
      <b/>
      <sz val="16"/>
      <color rgb="FF1E293B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</font>
    <font>
      <sz val="10"/>
      <name val="Segoe UI"/>
      <charset val="134"/>
    </font>
    <font>
      <sz val="11"/>
      <color theme="1"/>
      <name val="Wingdings"/>
      <charset val="2"/>
    </font>
    <font>
      <sz val="10"/>
      <color theme="1"/>
      <name val="Arial"/>
      <charset val="134"/>
    </font>
    <font>
      <i/>
      <sz val="10"/>
      <color rgb="FF475569"/>
      <name val="Arial"/>
      <charset val="134"/>
    </font>
    <font>
      <b/>
      <sz val="9"/>
      <color rgb="FF475569"/>
      <name val="Arial"/>
      <charset val="134"/>
    </font>
    <font>
      <b/>
      <sz val="20"/>
      <color rgb="FF2563EB"/>
      <name val="Arial"/>
      <charset val="134"/>
    </font>
    <font>
      <b/>
      <sz val="12"/>
      <color rgb="FF1E293B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0F9FF"/>
        <bgColor rgb="FFF0F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2563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2563EB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8" fillId="0" borderId="0" xfId="0" applyFont="1"/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0" borderId="0" xfId="0" applyFont="1"/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79" fontId="4" fillId="0" borderId="1" xfId="0" applyNumberFormat="1" applyFont="1" applyBorder="1" applyAlignment="1">
      <alignment horizontal="righ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Documentos por Norma / SGI</a:t>
            </a:r>
            <a:endParaRPr lang="es-CO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Resumen'!$C$9</c:f>
              <c:strCache>
                <c:ptCount val="1"/>
                <c:pt idx="0">
                  <c:v>Cantidad de Docs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'Dashboard &amp; Resumen'!$B$10:$B$13</c:f>
              <c:strCache>
                <c:ptCount val="4"/>
                <c:pt idx="0">
                  <c:v>ISO 9001 (Calidad)</c:v>
                </c:pt>
                <c:pt idx="1">
                  <c:v>ISO 45001 (SST)</c:v>
                </c:pt>
                <c:pt idx="2">
                  <c:v>ISO 27001 (Seguridad Info)</c:v>
                </c:pt>
                <c:pt idx="3">
                  <c:v>SGI (9001 + 45001 + 27001)</c:v>
                </c:pt>
              </c:strCache>
            </c:strRef>
          </c:cat>
          <c:val>
            <c:numRef>
              <c:f>'Dashboard &amp; Resumen'!$C$10:$C$13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Norma</a:t>
                </a:r>
                <a:endParaRPr lang="es-C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  <a:endParaRPr lang="es-CO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f8e2fb-3c58-4e2a-931d-11221a98441d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Distribución por Estado</a:t>
            </a:r>
            <a:endParaRPr lang="es-CO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&amp; Resumen'!$G$9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'Dashboard &amp; Resumen'!$F$10:$F$14</c:f>
              <c:strCache>
                <c:ptCount val="5"/>
                <c:pt idx="0">
                  <c:v>Vigente</c:v>
                </c:pt>
                <c:pt idx="1">
                  <c:v>En Revisión</c:v>
                </c:pt>
                <c:pt idx="2">
                  <c:v>En Aprobación</c:v>
                </c:pt>
                <c:pt idx="3">
                  <c:v>Obsoleto</c:v>
                </c:pt>
                <c:pt idx="4">
                  <c:v>Borrador</c:v>
                </c:pt>
              </c:strCache>
            </c:strRef>
          </c:cat>
          <c:val>
            <c:numRef>
              <c:f>'Dashboard &amp; Resumen'!$G$10:$G$14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7e75ca-ab7e-449f-a57f-7a16be3723bb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16</xdr:row>
      <xdr:rowOff>0</xdr:rowOff>
    </xdr:from>
    <xdr:ext cx="4320000" cy="2700000"/>
    <xdr:graphicFrame>
      <xdr:nvGraphicFramePr>
        <xdr:cNvPr id="2" name="Chart 1"/>
        <xdr:cNvGraphicFramePr/>
      </xdr:nvGraphicFramePr>
      <xdr:xfrm>
        <a:off x="800100" y="3267075"/>
        <a:ext cx="43199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9525</xdr:rowOff>
    </xdr:from>
    <xdr:ext cx="4320000" cy="2700000"/>
    <xdr:graphicFrame>
      <xdr:nvGraphicFramePr>
        <xdr:cNvPr id="3" name="Chart 2"/>
        <xdr:cNvGraphicFramePr/>
      </xdr:nvGraphicFramePr>
      <xdr:xfrm>
        <a:off x="11487150" y="3467100"/>
        <a:ext cx="43199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opLeftCell="D1" workbookViewId="0">
      <pane ySplit="3" topLeftCell="A4" activePane="bottomLeft" state="frozen"/>
      <selection/>
      <selection pane="bottomLeft" activeCell="H22" sqref="H22"/>
    </sheetView>
  </sheetViews>
  <sheetFormatPr defaultColWidth="9.14285714285714" defaultRowHeight="15"/>
  <cols>
    <col min="1" max="1" width="12" customWidth="1"/>
    <col min="2" max="2" width="37" customWidth="1"/>
    <col min="3" max="3" width="62" customWidth="1"/>
    <col min="4" max="4" width="12.2857142857143" customWidth="1"/>
    <col min="5" max="5" width="49" customWidth="1"/>
    <col min="6" max="6" width="29" customWidth="1"/>
    <col min="7" max="7" width="59" customWidth="1"/>
    <col min="8" max="8" width="22.2857142857143" customWidth="1"/>
    <col min="9" max="10" width="12" customWidth="1"/>
    <col min="11" max="11" width="21.7142857142857" customWidth="1"/>
  </cols>
  <sheetData>
    <row r="1" ht="20.25" spans="1:17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7">
      <c r="A2" s="1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7">
      <c r="C4" s="20" t="s">
        <v>2</v>
      </c>
      <c r="F4" s="21" t="s">
        <v>3</v>
      </c>
      <c r="H4" s="21" t="s">
        <v>4</v>
      </c>
      <c r="I4" s="22"/>
      <c r="K4" s="23"/>
    </row>
    <row r="5" ht="26.25" spans="1:17">
      <c r="C5" s="24">
        <f>COUNTA('Listado Maestro'!A5:A100)</f>
        <v>10</v>
      </c>
      <c r="F5" s="25">
        <f>COUNTIF('Listado Maestro'!K5:K100,"Vigente")</f>
        <v>8</v>
      </c>
      <c r="H5" s="25">
        <f>COUNTIF('Listado Maestro'!K5:K100,"En Revisión")+COUNTIF('Listado Maestro'!K5:K100,"Borrador")</f>
        <v>2</v>
      </c>
      <c r="I5" s="26"/>
      <c r="K5" s="26"/>
    </row>
    <row r="8" ht="15.75" spans="1:17">
      <c r="B8" s="27" t="s">
        <v>5</v>
      </c>
      <c r="C8" s="3"/>
      <c r="D8" s="3"/>
      <c r="E8" s="3"/>
      <c r="F8" s="27" t="s">
        <v>6</v>
      </c>
      <c r="G8" s="3"/>
      <c r="H8" s="3"/>
    </row>
    <row r="9" spans="1:17">
      <c r="B9" s="28" t="s">
        <v>7</v>
      </c>
      <c r="C9" s="28" t="s">
        <v>8</v>
      </c>
      <c r="D9" s="28" t="s">
        <v>9</v>
      </c>
      <c r="E9" s="3"/>
      <c r="F9" s="28" t="s">
        <v>10</v>
      </c>
      <c r="G9" s="28" t="s">
        <v>11</v>
      </c>
      <c r="H9" s="28" t="s">
        <v>9</v>
      </c>
    </row>
    <row r="10" spans="1:17">
      <c r="B10" s="4" t="s">
        <v>12</v>
      </c>
      <c r="C10" s="29">
        <f>COUNTIF('Listado Maestro'!$E$5:$E$100,"*"&amp;"ISO 9001"&amp;"*")</f>
        <v>3</v>
      </c>
      <c r="D10" s="30">
        <f>C10/$C$5</f>
        <v>0.3</v>
      </c>
      <c r="E10" s="3"/>
      <c r="F10" s="4" t="s">
        <v>13</v>
      </c>
      <c r="G10" s="29">
        <f>COUNTIF('Listado Maestro'!$K$5:$K$100,"Vigente")</f>
        <v>8</v>
      </c>
      <c r="H10" s="30">
        <f>G10/$G$15</f>
        <v>0.8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B11" s="4" t="s">
        <v>14</v>
      </c>
      <c r="C11" s="29">
        <f>COUNTIF('Listado Maestro'!$E$5:$E$100,"*"&amp;"ISO 4500"&amp;"*")</f>
        <v>0</v>
      </c>
      <c r="D11" s="30">
        <f t="shared" ref="D11:D14" si="0">C11/$C$5</f>
        <v>0</v>
      </c>
      <c r="E11" s="3"/>
      <c r="F11" s="4" t="s">
        <v>15</v>
      </c>
      <c r="G11" s="29">
        <f>COUNTIF('Listado Maestro'!$K$5:$K$100,"En Revisión")</f>
        <v>2</v>
      </c>
      <c r="H11" s="30">
        <f t="shared" ref="H11:H15" si="1">G11/$G$15</f>
        <v>0.2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B12" s="4" t="s">
        <v>16</v>
      </c>
      <c r="C12" s="29">
        <f>COUNTIF('Listado Maestro'!$E$5:$E$100,"*"&amp;"ISO 2700"&amp;"*")</f>
        <v>0</v>
      </c>
      <c r="D12" s="30">
        <f t="shared" si="0"/>
        <v>0</v>
      </c>
      <c r="E12" s="3"/>
      <c r="F12" s="4" t="s">
        <v>17</v>
      </c>
      <c r="G12" s="29">
        <f>COUNTIF('Listado Maestro'!$K$5:$K$100,"En Aprobación")</f>
        <v>0</v>
      </c>
      <c r="H12" s="30">
        <f t="shared" si="1"/>
        <v>0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B13" s="4" t="s">
        <v>18</v>
      </c>
      <c r="C13" s="29">
        <f>COUNTIF('Listado Maestro'!$E$5:$E$100,"*"&amp;"SGI (900"&amp;"*")</f>
        <v>7</v>
      </c>
      <c r="D13" s="30">
        <f t="shared" si="0"/>
        <v>0.7</v>
      </c>
      <c r="E13" s="3"/>
      <c r="F13" s="4" t="s">
        <v>19</v>
      </c>
      <c r="G13" s="29">
        <f>COUNTIF('Listado Maestro'!$K$5:$K$100,"Obsoleto")</f>
        <v>0</v>
      </c>
      <c r="H13" s="30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B14" s="31" t="s">
        <v>20</v>
      </c>
      <c r="C14" s="32">
        <f>SUM(C10:C13)</f>
        <v>10</v>
      </c>
      <c r="D14" s="30">
        <f t="shared" si="0"/>
        <v>1</v>
      </c>
      <c r="E14" s="3"/>
      <c r="F14" s="4" t="s">
        <v>21</v>
      </c>
      <c r="G14" s="29">
        <f>COUNTIF('Listado Maestro'!$K$5:$K$100,"Borrador")</f>
        <v>0</v>
      </c>
      <c r="H14" s="30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B15" s="3"/>
      <c r="C15" s="3"/>
      <c r="D15" s="3"/>
      <c r="E15" s="3"/>
      <c r="F15" s="31" t="s">
        <v>22</v>
      </c>
      <c r="G15" s="32">
        <f>SUM(G10:G14)</f>
        <v>10</v>
      </c>
      <c r="H15" s="30">
        <f t="shared" si="1"/>
        <v>1</v>
      </c>
      <c r="I15" s="3"/>
      <c r="J15" s="3"/>
      <c r="K15" s="3"/>
      <c r="L15" s="3"/>
      <c r="M15" s="3"/>
      <c r="N15" s="3"/>
      <c r="O15" s="3"/>
      <c r="P15" s="3"/>
      <c r="Q15" s="3"/>
    </row>
  </sheetData>
  <mergeCells count="2">
    <mergeCell ref="A1:K1"/>
    <mergeCell ref="A2:K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4" sqref="A14"/>
    </sheetView>
  </sheetViews>
  <sheetFormatPr defaultColWidth="9.14285714285714" defaultRowHeight="15"/>
  <cols>
    <col min="1" max="1" width="15" customWidth="1"/>
    <col min="2" max="2" width="67" customWidth="1"/>
    <col min="3" max="3" width="20" customWidth="1"/>
    <col min="4" max="5" width="28" customWidth="1"/>
    <col min="6" max="6" width="10" customWidth="1"/>
    <col min="7" max="8" width="16" customWidth="1"/>
    <col min="9" max="10" width="22" customWidth="1"/>
    <col min="11" max="11" width="15" customWidth="1"/>
    <col min="12" max="12" width="22" customWidth="1"/>
    <col min="13" max="13" width="26" customWidth="1"/>
    <col min="14" max="14" width="26.8571428571429" customWidth="1"/>
  </cols>
  <sheetData>
    <row r="1" ht="20.25" spans="1:14">
      <c r="A1" s="9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0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="3" customFormat="1" ht="27.95" customHeight="1" spans="1:14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10</v>
      </c>
      <c r="L4" s="11" t="s">
        <v>35</v>
      </c>
      <c r="M4" s="11" t="s">
        <v>36</v>
      </c>
      <c r="N4" s="11" t="s">
        <v>37</v>
      </c>
    </row>
    <row r="5" s="8" customFormat="1" ht="12.75" spans="1:14">
      <c r="A5" s="8" t="s">
        <v>38</v>
      </c>
      <c r="B5" s="12" t="s">
        <v>39</v>
      </c>
      <c r="C5" s="12" t="s">
        <v>40</v>
      </c>
      <c r="D5" s="12" t="s">
        <v>41</v>
      </c>
      <c r="E5" s="12" t="s">
        <v>18</v>
      </c>
      <c r="F5" s="13" t="s">
        <v>42</v>
      </c>
      <c r="G5" s="14">
        <v>46219</v>
      </c>
      <c r="H5" s="14">
        <v>46584</v>
      </c>
      <c r="I5" s="12" t="s">
        <v>43</v>
      </c>
      <c r="J5" s="12" t="s">
        <v>44</v>
      </c>
      <c r="K5" s="13" t="s">
        <v>13</v>
      </c>
      <c r="L5" s="13" t="s">
        <v>45</v>
      </c>
      <c r="M5" s="12" t="s">
        <v>46</v>
      </c>
      <c r="N5" s="12" t="s">
        <v>47</v>
      </c>
    </row>
    <row r="6" s="8" customFormat="1" ht="12.75" spans="1:14">
      <c r="A6" s="8" t="s">
        <v>48</v>
      </c>
      <c r="B6" s="12" t="s">
        <v>49</v>
      </c>
      <c r="C6" s="12" t="s">
        <v>50</v>
      </c>
      <c r="D6" s="12" t="s">
        <v>41</v>
      </c>
      <c r="E6" s="12" t="s">
        <v>18</v>
      </c>
      <c r="F6" s="13" t="s">
        <v>42</v>
      </c>
      <c r="G6" s="14">
        <v>46219</v>
      </c>
      <c r="H6" s="14">
        <v>46584</v>
      </c>
      <c r="I6" s="12" t="s">
        <v>43</v>
      </c>
      <c r="J6" s="12" t="s">
        <v>44</v>
      </c>
      <c r="K6" s="13" t="s">
        <v>13</v>
      </c>
      <c r="L6" s="13" t="s">
        <v>51</v>
      </c>
      <c r="M6" s="12" t="s">
        <v>52</v>
      </c>
      <c r="N6" s="12" t="s">
        <v>53</v>
      </c>
    </row>
    <row r="7" s="8" customFormat="1" ht="12.75" spans="1:14">
      <c r="A7" s="8" t="s">
        <v>54</v>
      </c>
      <c r="B7" s="12" t="s">
        <v>55</v>
      </c>
      <c r="C7" s="12" t="s">
        <v>40</v>
      </c>
      <c r="D7" s="12" t="s">
        <v>41</v>
      </c>
      <c r="E7" s="12" t="s">
        <v>18</v>
      </c>
      <c r="F7" s="13" t="s">
        <v>42</v>
      </c>
      <c r="G7" s="14">
        <v>46219</v>
      </c>
      <c r="H7" s="14">
        <v>46584</v>
      </c>
      <c r="I7" s="12" t="s">
        <v>43</v>
      </c>
      <c r="J7" s="12" t="s">
        <v>44</v>
      </c>
      <c r="K7" s="13" t="s">
        <v>13</v>
      </c>
      <c r="L7" s="13" t="s">
        <v>45</v>
      </c>
      <c r="M7" s="12" t="s">
        <v>46</v>
      </c>
      <c r="N7" s="12" t="s">
        <v>53</v>
      </c>
    </row>
    <row r="8" s="8" customFormat="1" ht="12.75" spans="1:14">
      <c r="A8" s="8" t="s">
        <v>56</v>
      </c>
      <c r="B8" s="12" t="s">
        <v>57</v>
      </c>
      <c r="C8" s="12" t="s">
        <v>40</v>
      </c>
      <c r="D8" s="12" t="s">
        <v>41</v>
      </c>
      <c r="E8" s="12" t="s">
        <v>18</v>
      </c>
      <c r="F8" s="13" t="s">
        <v>42</v>
      </c>
      <c r="G8" s="14">
        <v>46226</v>
      </c>
      <c r="H8" s="14">
        <v>46591</v>
      </c>
      <c r="I8" s="12" t="s">
        <v>43</v>
      </c>
      <c r="J8" s="12" t="s">
        <v>44</v>
      </c>
      <c r="K8" s="13" t="s">
        <v>13</v>
      </c>
      <c r="L8" s="13" t="s">
        <v>45</v>
      </c>
      <c r="M8" s="12" t="s">
        <v>46</v>
      </c>
      <c r="N8" s="12" t="s">
        <v>53</v>
      </c>
    </row>
    <row r="9" s="8" customFormat="1" ht="12.75" spans="1:14">
      <c r="A9" s="8" t="s">
        <v>58</v>
      </c>
      <c r="B9" s="12" t="s">
        <v>59</v>
      </c>
      <c r="C9" s="12" t="s">
        <v>60</v>
      </c>
      <c r="D9" s="12" t="s">
        <v>41</v>
      </c>
      <c r="E9" s="12" t="s">
        <v>12</v>
      </c>
      <c r="F9" s="13" t="s">
        <v>42</v>
      </c>
      <c r="G9" s="14">
        <v>46197</v>
      </c>
      <c r="H9" s="14">
        <v>46562</v>
      </c>
      <c r="I9" s="12" t="s">
        <v>43</v>
      </c>
      <c r="J9" s="12" t="s">
        <v>61</v>
      </c>
      <c r="K9" s="13" t="s">
        <v>13</v>
      </c>
      <c r="L9" s="13" t="s">
        <v>45</v>
      </c>
      <c r="M9" s="12" t="s">
        <v>46</v>
      </c>
      <c r="N9" s="18" t="s">
        <v>62</v>
      </c>
    </row>
    <row r="10" s="8" customFormat="1" ht="12.75" spans="1:14">
      <c r="A10" s="8" t="s">
        <v>63</v>
      </c>
      <c r="B10" s="12" t="s">
        <v>64</v>
      </c>
      <c r="C10" s="12" t="s">
        <v>60</v>
      </c>
      <c r="D10" s="12" t="s">
        <v>41</v>
      </c>
      <c r="E10" s="12" t="s">
        <v>12</v>
      </c>
      <c r="F10" s="13" t="s">
        <v>42</v>
      </c>
      <c r="G10" s="14">
        <v>46210</v>
      </c>
      <c r="H10" s="14">
        <v>46575</v>
      </c>
      <c r="I10" s="12" t="s">
        <v>43</v>
      </c>
      <c r="J10" s="12" t="s">
        <v>61</v>
      </c>
      <c r="K10" s="13" t="s">
        <v>13</v>
      </c>
      <c r="L10" s="13" t="s">
        <v>45</v>
      </c>
      <c r="M10" s="12" t="s">
        <v>46</v>
      </c>
      <c r="N10" s="18" t="s">
        <v>47</v>
      </c>
    </row>
    <row r="11" s="8" customFormat="1" ht="12.75" spans="1:14">
      <c r="A11" s="8" t="s">
        <v>65</v>
      </c>
      <c r="B11" s="12" t="s">
        <v>66</v>
      </c>
      <c r="C11" s="12" t="s">
        <v>60</v>
      </c>
      <c r="D11" s="12" t="s">
        <v>41</v>
      </c>
      <c r="E11" s="12" t="s">
        <v>18</v>
      </c>
      <c r="F11" s="13" t="s">
        <v>42</v>
      </c>
      <c r="G11" s="14">
        <v>46227</v>
      </c>
      <c r="H11" s="14">
        <v>46592</v>
      </c>
      <c r="I11" s="12" t="s">
        <v>43</v>
      </c>
      <c r="J11" s="12" t="s">
        <v>61</v>
      </c>
      <c r="K11" s="13" t="s">
        <v>13</v>
      </c>
      <c r="L11" s="13" t="s">
        <v>45</v>
      </c>
      <c r="M11" s="12" t="s">
        <v>46</v>
      </c>
      <c r="N11" s="18" t="s">
        <v>53</v>
      </c>
    </row>
    <row r="12" s="8" customFormat="1" ht="12.75" spans="1:14">
      <c r="A12" s="8" t="s">
        <v>67</v>
      </c>
      <c r="B12" s="12" t="s">
        <v>68</v>
      </c>
      <c r="C12" s="12" t="s">
        <v>60</v>
      </c>
      <c r="D12" s="12" t="s">
        <v>41</v>
      </c>
      <c r="E12" s="12" t="s">
        <v>18</v>
      </c>
      <c r="F12" s="13" t="s">
        <v>42</v>
      </c>
      <c r="G12" s="14">
        <v>46239</v>
      </c>
      <c r="H12" s="14">
        <v>46604</v>
      </c>
      <c r="I12" s="12" t="s">
        <v>43</v>
      </c>
      <c r="J12" s="12" t="s">
        <v>61</v>
      </c>
      <c r="K12" s="13" t="s">
        <v>15</v>
      </c>
      <c r="L12" s="13" t="s">
        <v>45</v>
      </c>
      <c r="M12" s="12" t="s">
        <v>46</v>
      </c>
      <c r="N12" s="18" t="s">
        <v>47</v>
      </c>
    </row>
    <row r="13" s="8" customFormat="1" ht="12.75" spans="1:14">
      <c r="A13" s="8" t="s">
        <v>69</v>
      </c>
      <c r="B13" s="12" t="s">
        <v>70</v>
      </c>
      <c r="C13" s="12" t="s">
        <v>71</v>
      </c>
      <c r="D13" s="12" t="s">
        <v>41</v>
      </c>
      <c r="E13" s="12" t="s">
        <v>12</v>
      </c>
      <c r="F13" s="13" t="s">
        <v>42</v>
      </c>
      <c r="G13" s="14">
        <v>46174</v>
      </c>
      <c r="H13" s="14">
        <v>46539</v>
      </c>
      <c r="I13" s="12" t="s">
        <v>43</v>
      </c>
      <c r="J13" s="12" t="s">
        <v>61</v>
      </c>
      <c r="K13" s="13" t="s">
        <v>13</v>
      </c>
      <c r="L13" s="13" t="s">
        <v>45</v>
      </c>
      <c r="M13" s="12" t="s">
        <v>46</v>
      </c>
      <c r="N13" s="18" t="s">
        <v>47</v>
      </c>
    </row>
    <row r="14" s="8" customFormat="1" ht="12.75" spans="1:14">
      <c r="A14" s="8" t="s">
        <v>72</v>
      </c>
      <c r="B14" s="12" t="s">
        <v>73</v>
      </c>
      <c r="C14" s="12" t="s">
        <v>60</v>
      </c>
      <c r="D14" s="12" t="s">
        <v>41</v>
      </c>
      <c r="E14" s="12" t="s">
        <v>18</v>
      </c>
      <c r="F14" s="13" t="s">
        <v>74</v>
      </c>
      <c r="G14" s="14">
        <v>46240</v>
      </c>
      <c r="H14" s="14">
        <v>46605</v>
      </c>
      <c r="I14" s="12" t="s">
        <v>43</v>
      </c>
      <c r="J14" s="12" t="s">
        <v>61</v>
      </c>
      <c r="K14" s="13" t="s">
        <v>15</v>
      </c>
      <c r="L14" s="13" t="s">
        <v>45</v>
      </c>
      <c r="M14" s="12" t="s">
        <v>46</v>
      </c>
      <c r="N14" s="18" t="s">
        <v>62</v>
      </c>
    </row>
    <row r="15" s="8" customFormat="1" ht="12.75" spans="1:14">
      <c r="B15" s="12"/>
      <c r="C15" s="12"/>
      <c r="D15" s="12"/>
      <c r="E15" s="12"/>
      <c r="F15" s="13"/>
      <c r="G15" s="14"/>
      <c r="H15" s="14"/>
      <c r="I15" s="12"/>
      <c r="J15" s="12"/>
      <c r="K15" s="13"/>
      <c r="L15" s="13"/>
      <c r="M15" s="12"/>
      <c r="N15" s="12"/>
    </row>
    <row r="16" s="8" customFormat="1" ht="12.75" spans="1:14">
      <c r="B16" s="12"/>
      <c r="C16" s="12"/>
      <c r="D16" s="12"/>
      <c r="E16" s="12"/>
      <c r="F16" s="13"/>
      <c r="G16" s="14"/>
      <c r="H16" s="14"/>
      <c r="I16" s="12"/>
      <c r="J16" s="12"/>
      <c r="K16" s="13"/>
      <c r="L16" s="13"/>
      <c r="M16" s="12"/>
      <c r="N16" s="12"/>
    </row>
    <row r="17" s="8" customFormat="1" ht="12.75" spans="1:14">
      <c r="B17" s="12"/>
      <c r="C17" s="12"/>
      <c r="D17" s="12"/>
      <c r="E17" s="12"/>
      <c r="F17" s="13"/>
      <c r="G17" s="14"/>
      <c r="H17" s="14"/>
      <c r="I17" s="12"/>
      <c r="J17" s="12"/>
      <c r="K17" s="13"/>
      <c r="L17" s="13"/>
      <c r="M17" s="12"/>
      <c r="N17" s="12"/>
    </row>
    <row r="18" s="8" customFormat="1" ht="12.75" spans="1:14">
      <c r="B18" s="12"/>
      <c r="C18" s="12"/>
      <c r="D18" s="12"/>
      <c r="E18" s="12"/>
      <c r="F18" s="13"/>
      <c r="G18" s="14"/>
      <c r="H18" s="14"/>
      <c r="I18" s="12"/>
      <c r="J18" s="12"/>
      <c r="K18" s="13"/>
      <c r="L18" s="13"/>
      <c r="M18" s="12"/>
      <c r="N18" s="12"/>
    </row>
    <row r="19" s="8" customFormat="1" ht="12.75" spans="1:14">
      <c r="B19" s="12"/>
      <c r="C19" s="12"/>
      <c r="D19" s="12"/>
      <c r="E19" s="12"/>
      <c r="F19" s="13"/>
      <c r="G19" s="14"/>
      <c r="H19" s="14"/>
      <c r="I19" s="12"/>
      <c r="J19" s="12"/>
      <c r="K19" s="13"/>
      <c r="L19" s="13"/>
      <c r="M19" s="12"/>
      <c r="N19" s="12"/>
    </row>
    <row r="20" s="8" customFormat="1" ht="12.75" spans="1:14">
      <c r="B20" s="12"/>
      <c r="C20" s="12"/>
      <c r="D20" s="12"/>
      <c r="E20" s="12"/>
      <c r="F20" s="13"/>
      <c r="G20" s="14"/>
      <c r="H20" s="14"/>
      <c r="I20" s="12"/>
      <c r="J20" s="12"/>
      <c r="K20" s="13"/>
      <c r="L20" s="13"/>
      <c r="M20" s="12"/>
      <c r="N20" s="12"/>
    </row>
    <row r="21" s="8" customFormat="1" ht="12.75" spans="1:14">
      <c r="B21" s="12"/>
      <c r="C21" s="12"/>
      <c r="D21" s="12"/>
      <c r="E21" s="12"/>
      <c r="F21" s="13"/>
      <c r="G21" s="14"/>
      <c r="H21" s="14"/>
      <c r="I21" s="12"/>
      <c r="J21" s="12"/>
      <c r="K21" s="13"/>
      <c r="L21" s="13"/>
      <c r="M21" s="12"/>
      <c r="N21" s="12"/>
    </row>
    <row r="22" s="8" customFormat="1" ht="12.75" spans="1:14">
      <c r="B22" s="12"/>
      <c r="C22" s="12"/>
      <c r="D22" s="12"/>
      <c r="E22" s="12"/>
      <c r="F22" s="13"/>
      <c r="G22" s="14"/>
      <c r="H22" s="14"/>
      <c r="I22" s="12"/>
      <c r="J22" s="12"/>
      <c r="K22" s="13"/>
      <c r="L22" s="13"/>
      <c r="M22" s="12"/>
      <c r="N22" s="12"/>
    </row>
    <row r="23" s="8" customFormat="1" ht="12.75" spans="1:14">
      <c r="B23" s="12"/>
      <c r="C23" s="12"/>
      <c r="D23" s="12"/>
      <c r="E23" s="12"/>
      <c r="F23" s="13"/>
      <c r="G23" s="14"/>
      <c r="H23" s="14"/>
      <c r="I23" s="12"/>
      <c r="J23" s="12"/>
      <c r="K23" s="13"/>
      <c r="L23" s="13"/>
      <c r="M23" s="12"/>
      <c r="N23" s="12"/>
    </row>
    <row r="24" s="8" customFormat="1" ht="12.75" spans="1:14">
      <c r="B24" s="12"/>
      <c r="C24" s="12"/>
      <c r="D24" s="12"/>
      <c r="E24" s="12"/>
      <c r="F24" s="13"/>
      <c r="G24" s="14"/>
      <c r="H24" s="14"/>
      <c r="I24" s="12"/>
      <c r="J24" s="12"/>
      <c r="K24" s="13"/>
      <c r="L24" s="13"/>
      <c r="M24" s="12"/>
      <c r="N24" s="12"/>
    </row>
    <row r="25" spans="1:14">
      <c r="A25" s="8"/>
    </row>
    <row r="26" spans="1:14">
      <c r="A26" s="8"/>
    </row>
    <row r="27" spans="1:14">
      <c r="A27" s="8"/>
    </row>
  </sheetData>
  <mergeCells count="2">
    <mergeCell ref="A1:N1"/>
    <mergeCell ref="A2:N2"/>
  </mergeCells>
  <dataValidations count="5">
    <dataValidation type="list" allowBlank="1" sqref="C5:C100">
      <formula1>'Listas de Control'!$A$4:$A$12</formula1>
    </dataValidation>
    <dataValidation type="list" allowBlank="1" sqref="D5:D100">
      <formula1>'Listas de Control'!$C$4:$C$13</formula1>
    </dataValidation>
    <dataValidation type="list" allowBlank="1" sqref="E5:E100">
      <formula1>'Listas de Control'!$E$4:$E$10</formula1>
    </dataValidation>
    <dataValidation type="list" allowBlank="1" sqref="K5:K100">
      <formula1>'Listas de Control'!$G$4:$G$8</formula1>
    </dataValidation>
    <dataValidation type="list" allowBlank="1" sqref="L5:L100">
      <formula1>'Listas de Control'!$I$4:$I$7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opLeftCell="F1" workbookViewId="0">
      <selection activeCell="B10" sqref="B10"/>
    </sheetView>
  </sheetViews>
  <sheetFormatPr defaultColWidth="9.14285714285714" defaultRowHeight="15"/>
  <cols>
    <col min="1" max="1" width="15" customWidth="1"/>
    <col min="2" max="2" width="67" customWidth="1"/>
    <col min="3" max="3" width="20" customWidth="1"/>
    <col min="4" max="5" width="28" customWidth="1"/>
    <col min="6" max="6" width="10" customWidth="1"/>
    <col min="7" max="8" width="16" customWidth="1"/>
    <col min="9" max="10" width="22" customWidth="1"/>
    <col min="11" max="11" width="15" customWidth="1"/>
    <col min="12" max="12" width="22" customWidth="1"/>
    <col min="13" max="13" width="26" customWidth="1"/>
    <col min="14" max="14" width="22" customWidth="1"/>
  </cols>
  <sheetData>
    <row r="1" ht="20.25" spans="1:14">
      <c r="A1" s="9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0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="3" customFormat="1" ht="27.95" customHeight="1" spans="1:14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10</v>
      </c>
      <c r="L4" s="11" t="s">
        <v>35</v>
      </c>
      <c r="M4" s="11" t="s">
        <v>36</v>
      </c>
      <c r="N4" s="11" t="s">
        <v>37</v>
      </c>
    </row>
    <row r="5" s="8" customFormat="1" ht="12.75" spans="1:14">
      <c r="A5" s="8" t="s">
        <v>38</v>
      </c>
      <c r="B5" s="12" t="s">
        <v>39</v>
      </c>
      <c r="C5" s="12" t="s">
        <v>40</v>
      </c>
      <c r="D5" s="12" t="s">
        <v>75</v>
      </c>
      <c r="E5" s="12" t="s">
        <v>18</v>
      </c>
      <c r="F5" s="13" t="s">
        <v>42</v>
      </c>
      <c r="G5" s="14">
        <v>45672</v>
      </c>
      <c r="H5" s="14">
        <v>46037</v>
      </c>
      <c r="I5" s="12" t="s">
        <v>43</v>
      </c>
      <c r="J5" s="12" t="s">
        <v>76</v>
      </c>
      <c r="K5" s="15" t="s">
        <v>13</v>
      </c>
      <c r="L5" s="13" t="s">
        <v>45</v>
      </c>
      <c r="M5" s="12" t="s">
        <v>46</v>
      </c>
      <c r="N5" s="12" t="s">
        <v>47</v>
      </c>
    </row>
    <row r="6" s="8" customFormat="1" ht="12.75" spans="1:14">
      <c r="A6" s="13"/>
      <c r="B6" s="12" t="s">
        <v>49</v>
      </c>
      <c r="C6" s="12" t="s">
        <v>50</v>
      </c>
      <c r="D6" s="12" t="s">
        <v>75</v>
      </c>
      <c r="E6" s="12" t="s">
        <v>18</v>
      </c>
      <c r="F6" s="13" t="s">
        <v>42</v>
      </c>
      <c r="G6" s="14">
        <v>45689</v>
      </c>
      <c r="H6" s="14">
        <v>46054</v>
      </c>
      <c r="I6" s="12" t="s">
        <v>77</v>
      </c>
      <c r="J6" s="12" t="s">
        <v>76</v>
      </c>
      <c r="K6" s="15" t="s">
        <v>13</v>
      </c>
      <c r="L6" s="13" t="s">
        <v>51</v>
      </c>
      <c r="M6" s="12" t="s">
        <v>52</v>
      </c>
      <c r="N6" s="12" t="s">
        <v>47</v>
      </c>
    </row>
    <row r="7" s="8" customFormat="1" ht="12.75" spans="1:14">
      <c r="A7" s="13"/>
      <c r="B7" s="12" t="s">
        <v>78</v>
      </c>
      <c r="C7" s="12" t="s">
        <v>79</v>
      </c>
      <c r="D7" s="12" t="s">
        <v>41</v>
      </c>
      <c r="E7" s="12" t="s">
        <v>18</v>
      </c>
      <c r="F7" s="13" t="s">
        <v>42</v>
      </c>
      <c r="G7" s="14">
        <v>45606</v>
      </c>
      <c r="H7" s="14">
        <v>45971</v>
      </c>
      <c r="I7" s="12" t="s">
        <v>80</v>
      </c>
      <c r="J7" s="12" t="s">
        <v>43</v>
      </c>
      <c r="K7" s="15" t="s">
        <v>13</v>
      </c>
      <c r="L7" s="13" t="s">
        <v>45</v>
      </c>
      <c r="M7" s="12" t="s">
        <v>81</v>
      </c>
      <c r="N7" s="12" t="s">
        <v>82</v>
      </c>
    </row>
    <row r="8" s="8" customFormat="1" ht="12.75" spans="1:14">
      <c r="A8" s="13"/>
      <c r="B8" s="12" t="s">
        <v>83</v>
      </c>
      <c r="C8" s="12" t="s">
        <v>79</v>
      </c>
      <c r="D8" s="12" t="s">
        <v>84</v>
      </c>
      <c r="E8" s="12" t="s">
        <v>18</v>
      </c>
      <c r="F8" s="13" t="s">
        <v>42</v>
      </c>
      <c r="G8" s="14">
        <v>45631</v>
      </c>
      <c r="H8" s="14">
        <v>45996</v>
      </c>
      <c r="I8" s="12" t="s">
        <v>85</v>
      </c>
      <c r="J8" s="12" t="s">
        <v>44</v>
      </c>
      <c r="K8" s="15" t="s">
        <v>13</v>
      </c>
      <c r="L8" s="13" t="s">
        <v>45</v>
      </c>
      <c r="M8" s="12" t="s">
        <v>81</v>
      </c>
      <c r="N8" s="12" t="s">
        <v>62</v>
      </c>
    </row>
    <row r="9" s="8" customFormat="1" ht="12.75" spans="1:14">
      <c r="A9" s="13"/>
      <c r="B9" s="12" t="s">
        <v>86</v>
      </c>
      <c r="C9" s="12" t="s">
        <v>79</v>
      </c>
      <c r="D9" s="12" t="s">
        <v>41</v>
      </c>
      <c r="E9" s="12" t="s">
        <v>12</v>
      </c>
      <c r="F9" s="13" t="s">
        <v>42</v>
      </c>
      <c r="G9" s="14">
        <v>45726</v>
      </c>
      <c r="H9" s="14">
        <v>46091</v>
      </c>
      <c r="I9" s="12" t="s">
        <v>87</v>
      </c>
      <c r="J9" s="12" t="s">
        <v>43</v>
      </c>
      <c r="K9" s="15" t="s">
        <v>13</v>
      </c>
      <c r="L9" s="13" t="s">
        <v>45</v>
      </c>
      <c r="M9" s="12" t="s">
        <v>88</v>
      </c>
      <c r="N9" s="12" t="s">
        <v>89</v>
      </c>
    </row>
    <row r="10" s="8" customFormat="1" ht="12.75" spans="1:14">
      <c r="A10" s="13"/>
      <c r="B10" s="12" t="s">
        <v>90</v>
      </c>
      <c r="C10" s="12" t="s">
        <v>79</v>
      </c>
      <c r="D10" s="12" t="s">
        <v>91</v>
      </c>
      <c r="E10" s="12" t="s">
        <v>12</v>
      </c>
      <c r="F10" s="13" t="s">
        <v>42</v>
      </c>
      <c r="G10" s="14">
        <v>45555</v>
      </c>
      <c r="H10" s="14">
        <v>45920</v>
      </c>
      <c r="I10" s="12" t="s">
        <v>92</v>
      </c>
      <c r="J10" s="12" t="s">
        <v>93</v>
      </c>
      <c r="K10" s="15" t="s">
        <v>13</v>
      </c>
      <c r="L10" s="13" t="s">
        <v>45</v>
      </c>
      <c r="M10" s="12" t="s">
        <v>94</v>
      </c>
      <c r="N10" s="12" t="s">
        <v>62</v>
      </c>
    </row>
    <row r="11" s="8" customFormat="1" ht="12.75" spans="1:14">
      <c r="A11" s="13"/>
      <c r="B11" s="12" t="s">
        <v>95</v>
      </c>
      <c r="C11" s="12" t="s">
        <v>79</v>
      </c>
      <c r="D11" s="12" t="s">
        <v>96</v>
      </c>
      <c r="E11" s="12" t="s">
        <v>14</v>
      </c>
      <c r="F11" s="13" t="s">
        <v>42</v>
      </c>
      <c r="G11" s="14">
        <v>45677</v>
      </c>
      <c r="H11" s="14">
        <v>46042</v>
      </c>
      <c r="I11" s="12" t="s">
        <v>97</v>
      </c>
      <c r="J11" s="12" t="s">
        <v>98</v>
      </c>
      <c r="K11" s="15" t="s">
        <v>13</v>
      </c>
      <c r="L11" s="13" t="s">
        <v>45</v>
      </c>
      <c r="M11" s="12" t="s">
        <v>99</v>
      </c>
      <c r="N11" s="12" t="s">
        <v>100</v>
      </c>
    </row>
    <row r="12" s="8" customFormat="1" ht="12.75" spans="1:14">
      <c r="A12" s="13"/>
      <c r="B12" s="12" t="s">
        <v>101</v>
      </c>
      <c r="C12" s="12" t="s">
        <v>79</v>
      </c>
      <c r="D12" s="12" t="s">
        <v>96</v>
      </c>
      <c r="E12" s="12" t="s">
        <v>14</v>
      </c>
      <c r="F12" s="13" t="s">
        <v>42</v>
      </c>
      <c r="G12" s="14">
        <v>45519</v>
      </c>
      <c r="H12" s="14">
        <v>45884</v>
      </c>
      <c r="I12" s="12" t="s">
        <v>102</v>
      </c>
      <c r="J12" s="12" t="s">
        <v>93</v>
      </c>
      <c r="K12" s="16" t="s">
        <v>15</v>
      </c>
      <c r="L12" s="13" t="s">
        <v>45</v>
      </c>
      <c r="M12" s="12" t="s">
        <v>103</v>
      </c>
      <c r="N12" s="12" t="s">
        <v>89</v>
      </c>
    </row>
    <row r="13" s="8" customFormat="1" ht="12.75" spans="1:14">
      <c r="A13" s="13"/>
      <c r="B13" s="12" t="s">
        <v>104</v>
      </c>
      <c r="C13" s="12" t="s">
        <v>79</v>
      </c>
      <c r="D13" s="12" t="s">
        <v>96</v>
      </c>
      <c r="E13" s="12" t="s">
        <v>14</v>
      </c>
      <c r="F13" s="13" t="s">
        <v>42</v>
      </c>
      <c r="G13" s="14">
        <v>45422</v>
      </c>
      <c r="H13" s="14">
        <v>45787</v>
      </c>
      <c r="I13" s="12" t="s">
        <v>105</v>
      </c>
      <c r="J13" s="12" t="s">
        <v>98</v>
      </c>
      <c r="K13" s="15" t="s">
        <v>13</v>
      </c>
      <c r="L13" s="13" t="s">
        <v>106</v>
      </c>
      <c r="M13" s="12" t="s">
        <v>107</v>
      </c>
      <c r="N13" s="12" t="s">
        <v>108</v>
      </c>
    </row>
    <row r="14" s="8" customFormat="1" ht="12.75" spans="1:14">
      <c r="A14" s="13"/>
      <c r="B14" s="12" t="s">
        <v>109</v>
      </c>
      <c r="C14" s="12" t="s">
        <v>79</v>
      </c>
      <c r="D14" s="12" t="s">
        <v>110</v>
      </c>
      <c r="E14" s="12" t="s">
        <v>16</v>
      </c>
      <c r="F14" s="13" t="s">
        <v>42</v>
      </c>
      <c r="G14" s="14">
        <v>45703</v>
      </c>
      <c r="H14" s="14">
        <v>46068</v>
      </c>
      <c r="I14" s="12" t="s">
        <v>111</v>
      </c>
      <c r="J14" s="12" t="s">
        <v>112</v>
      </c>
      <c r="K14" s="15" t="s">
        <v>13</v>
      </c>
      <c r="L14" s="13" t="s">
        <v>113</v>
      </c>
      <c r="M14" s="12" t="s">
        <v>114</v>
      </c>
      <c r="N14" s="12" t="s">
        <v>89</v>
      </c>
    </row>
    <row r="15" s="8" customFormat="1" ht="12.75" spans="1:14">
      <c r="A15" s="13"/>
      <c r="B15" s="12" t="s">
        <v>115</v>
      </c>
      <c r="C15" s="12" t="s">
        <v>79</v>
      </c>
      <c r="D15" s="12" t="s">
        <v>110</v>
      </c>
      <c r="E15" s="12" t="s">
        <v>16</v>
      </c>
      <c r="F15" s="13" t="s">
        <v>42</v>
      </c>
      <c r="G15" s="14">
        <v>45748</v>
      </c>
      <c r="H15" s="14">
        <v>46113</v>
      </c>
      <c r="I15" s="12" t="s">
        <v>116</v>
      </c>
      <c r="J15" s="12" t="s">
        <v>111</v>
      </c>
      <c r="K15" s="15" t="s">
        <v>13</v>
      </c>
      <c r="L15" s="13" t="s">
        <v>113</v>
      </c>
      <c r="M15" s="12" t="s">
        <v>117</v>
      </c>
      <c r="N15" s="12" t="s">
        <v>62</v>
      </c>
    </row>
    <row r="16" s="8" customFormat="1" ht="12.75" spans="1:14">
      <c r="A16" s="13"/>
      <c r="B16" s="12" t="s">
        <v>118</v>
      </c>
      <c r="C16" s="12" t="s">
        <v>119</v>
      </c>
      <c r="D16" s="12" t="s">
        <v>110</v>
      </c>
      <c r="E16" s="12" t="s">
        <v>120</v>
      </c>
      <c r="F16" s="13" t="s">
        <v>42</v>
      </c>
      <c r="G16" s="14">
        <v>45595</v>
      </c>
      <c r="H16" s="14">
        <v>45960</v>
      </c>
      <c r="I16" s="12" t="s">
        <v>121</v>
      </c>
      <c r="J16" s="12" t="s">
        <v>76</v>
      </c>
      <c r="K16" s="16" t="s">
        <v>15</v>
      </c>
      <c r="L16" s="13" t="s">
        <v>106</v>
      </c>
      <c r="M16" s="12" t="s">
        <v>122</v>
      </c>
      <c r="N16" s="12" t="s">
        <v>47</v>
      </c>
    </row>
    <row r="17" s="8" customFormat="1" ht="12.75" spans="1:14">
      <c r="A17" s="13"/>
      <c r="B17" s="12" t="s">
        <v>123</v>
      </c>
      <c r="C17" s="12" t="s">
        <v>124</v>
      </c>
      <c r="D17" s="12" t="s">
        <v>96</v>
      </c>
      <c r="E17" s="12" t="s">
        <v>14</v>
      </c>
      <c r="F17" s="13" t="s">
        <v>42</v>
      </c>
      <c r="G17" s="14">
        <v>45363</v>
      </c>
      <c r="H17" s="14">
        <v>45728</v>
      </c>
      <c r="I17" s="12" t="s">
        <v>125</v>
      </c>
      <c r="J17" s="12" t="s">
        <v>126</v>
      </c>
      <c r="K17" s="15" t="s">
        <v>13</v>
      </c>
      <c r="L17" s="13" t="s">
        <v>45</v>
      </c>
      <c r="M17" s="12" t="s">
        <v>127</v>
      </c>
      <c r="N17" s="12" t="s">
        <v>128</v>
      </c>
    </row>
    <row r="18" s="8" customFormat="1" ht="12.75" spans="1:14">
      <c r="A18" s="13"/>
      <c r="B18" s="12" t="s">
        <v>129</v>
      </c>
      <c r="C18" s="12" t="s">
        <v>124</v>
      </c>
      <c r="D18" s="12" t="s">
        <v>110</v>
      </c>
      <c r="E18" s="12" t="s">
        <v>16</v>
      </c>
      <c r="F18" s="13" t="s">
        <v>42</v>
      </c>
      <c r="G18" s="14">
        <v>45667</v>
      </c>
      <c r="H18" s="14">
        <v>46032</v>
      </c>
      <c r="I18" s="12" t="s">
        <v>130</v>
      </c>
      <c r="J18" s="12" t="s">
        <v>111</v>
      </c>
      <c r="K18" s="15" t="s">
        <v>13</v>
      </c>
      <c r="L18" s="13" t="s">
        <v>45</v>
      </c>
      <c r="M18" s="12" t="s">
        <v>131</v>
      </c>
      <c r="N18" s="12" t="s">
        <v>62</v>
      </c>
    </row>
    <row r="19" s="8" customFormat="1" ht="12.75" spans="1:14">
      <c r="A19" s="13"/>
      <c r="B19" s="12" t="s">
        <v>132</v>
      </c>
      <c r="C19" s="12" t="s">
        <v>133</v>
      </c>
      <c r="D19" s="12" t="s">
        <v>41</v>
      </c>
      <c r="E19" s="12" t="s">
        <v>12</v>
      </c>
      <c r="F19" s="13" t="s">
        <v>42</v>
      </c>
      <c r="G19" s="14">
        <v>45444</v>
      </c>
      <c r="H19" s="14">
        <v>46174</v>
      </c>
      <c r="I19" s="12" t="s">
        <v>87</v>
      </c>
      <c r="J19" s="12" t="s">
        <v>77</v>
      </c>
      <c r="K19" s="15" t="s">
        <v>13</v>
      </c>
      <c r="L19" s="13" t="s">
        <v>45</v>
      </c>
      <c r="M19" s="12" t="s">
        <v>88</v>
      </c>
      <c r="N19" s="12" t="s">
        <v>89</v>
      </c>
    </row>
    <row r="20" s="8" customFormat="1" ht="12.75" spans="1:14">
      <c r="A20" s="13"/>
      <c r="B20" s="12" t="s">
        <v>134</v>
      </c>
      <c r="C20" s="12" t="s">
        <v>133</v>
      </c>
      <c r="D20" s="12" t="s">
        <v>96</v>
      </c>
      <c r="E20" s="12" t="s">
        <v>14</v>
      </c>
      <c r="F20" s="13" t="s">
        <v>42</v>
      </c>
      <c r="G20" s="14">
        <v>45488</v>
      </c>
      <c r="H20" s="14">
        <v>46218</v>
      </c>
      <c r="I20" s="12" t="s">
        <v>135</v>
      </c>
      <c r="J20" s="12" t="s">
        <v>105</v>
      </c>
      <c r="K20" s="15" t="s">
        <v>13</v>
      </c>
      <c r="L20" s="13" t="s">
        <v>45</v>
      </c>
      <c r="M20" s="12" t="s">
        <v>136</v>
      </c>
      <c r="N20" s="12" t="s">
        <v>62</v>
      </c>
    </row>
    <row r="21" s="8" customFormat="1" ht="12.75" spans="1:14">
      <c r="A21" s="13"/>
      <c r="B21" s="12" t="s">
        <v>137</v>
      </c>
      <c r="C21" s="12" t="s">
        <v>138</v>
      </c>
      <c r="D21" s="12" t="s">
        <v>110</v>
      </c>
      <c r="E21" s="12" t="s">
        <v>16</v>
      </c>
      <c r="F21" s="13" t="s">
        <v>42</v>
      </c>
      <c r="G21" s="14">
        <v>45708</v>
      </c>
      <c r="H21" s="14">
        <v>46073</v>
      </c>
      <c r="I21" s="12" t="s">
        <v>139</v>
      </c>
      <c r="J21" s="12" t="s">
        <v>111</v>
      </c>
      <c r="K21" s="15" t="s">
        <v>13</v>
      </c>
      <c r="L21" s="13" t="s">
        <v>113</v>
      </c>
      <c r="M21" s="12" t="s">
        <v>140</v>
      </c>
      <c r="N21" s="12" t="s">
        <v>89</v>
      </c>
    </row>
    <row r="22" s="8" customFormat="1" ht="12.75" spans="1:14">
      <c r="A22" s="13"/>
      <c r="B22" s="12" t="s">
        <v>141</v>
      </c>
      <c r="C22" s="12" t="s">
        <v>142</v>
      </c>
      <c r="D22" s="12" t="s">
        <v>96</v>
      </c>
      <c r="E22" s="12" t="s">
        <v>18</v>
      </c>
      <c r="F22" s="13" t="s">
        <v>42</v>
      </c>
      <c r="G22" s="14">
        <v>45301</v>
      </c>
      <c r="H22" s="14">
        <v>46032</v>
      </c>
      <c r="I22" s="12" t="s">
        <v>143</v>
      </c>
      <c r="J22" s="12" t="s">
        <v>144</v>
      </c>
      <c r="K22" s="15" t="s">
        <v>13</v>
      </c>
      <c r="L22" s="13" t="s">
        <v>113</v>
      </c>
      <c r="M22" s="12" t="s">
        <v>145</v>
      </c>
      <c r="N22" s="12" t="s">
        <v>108</v>
      </c>
    </row>
    <row r="23" s="8" customFormat="1" ht="12.75" spans="1:14">
      <c r="A23" s="13"/>
      <c r="B23" s="12" t="s">
        <v>146</v>
      </c>
      <c r="C23" s="12" t="s">
        <v>138</v>
      </c>
      <c r="D23" s="12" t="s">
        <v>147</v>
      </c>
      <c r="E23" s="12" t="s">
        <v>18</v>
      </c>
      <c r="F23" s="13" t="s">
        <v>42</v>
      </c>
      <c r="G23" s="14">
        <v>45717</v>
      </c>
      <c r="H23" s="14">
        <v>46082</v>
      </c>
      <c r="I23" s="12" t="s">
        <v>148</v>
      </c>
      <c r="J23" s="12" t="s">
        <v>149</v>
      </c>
      <c r="K23" s="15" t="s">
        <v>13</v>
      </c>
      <c r="L23" s="13" t="s">
        <v>45</v>
      </c>
      <c r="M23" s="12" t="s">
        <v>150</v>
      </c>
      <c r="N23" s="12" t="s">
        <v>47</v>
      </c>
    </row>
    <row r="24" s="8" customFormat="1" ht="12.75" spans="1:14">
      <c r="A24" s="13"/>
      <c r="B24" s="12" t="s">
        <v>151</v>
      </c>
      <c r="C24" s="12" t="s">
        <v>50</v>
      </c>
      <c r="D24" s="12" t="s">
        <v>110</v>
      </c>
      <c r="E24" s="12" t="s">
        <v>16</v>
      </c>
      <c r="F24" s="13" t="s">
        <v>42</v>
      </c>
      <c r="G24" s="14">
        <v>45245</v>
      </c>
      <c r="H24" s="14">
        <v>45611</v>
      </c>
      <c r="I24" s="12" t="s">
        <v>152</v>
      </c>
      <c r="J24" s="12" t="s">
        <v>111</v>
      </c>
      <c r="K24" s="17" t="s">
        <v>19</v>
      </c>
      <c r="L24" s="13" t="s">
        <v>45</v>
      </c>
      <c r="M24" s="12" t="s">
        <v>153</v>
      </c>
      <c r="N24" s="12" t="s">
        <v>154</v>
      </c>
    </row>
  </sheetData>
  <mergeCells count="2">
    <mergeCell ref="A1:N1"/>
    <mergeCell ref="A2:N2"/>
  </mergeCells>
  <dataValidations count="5">
    <dataValidation type="list" allowBlank="1" sqref="C5:C100">
      <formula1>'Listas de Control'!$A$4:$A$12</formula1>
    </dataValidation>
    <dataValidation type="list" allowBlank="1" sqref="D5:D100">
      <formula1>'Listas de Control'!$C$4:$C$13</formula1>
    </dataValidation>
    <dataValidation type="list" allowBlank="1" sqref="E5:E100">
      <formula1>'Listas de Control'!$E$4:$E$10</formula1>
    </dataValidation>
    <dataValidation type="list" allowBlank="1" sqref="K5:K100">
      <formula1>'Listas de Control'!$G$4:$G$8</formula1>
    </dataValidation>
    <dataValidation type="list" allowBlank="1" sqref="L5:L100">
      <formula1>'Listas de Control'!$I$4:$I$7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4" sqref="A4"/>
    </sheetView>
  </sheetViews>
  <sheetFormatPr defaultColWidth="9.14285714285714" defaultRowHeight="15"/>
  <cols>
    <col min="1" max="1" width="21" customWidth="1"/>
    <col min="2" max="2" width="12" customWidth="1"/>
    <col min="3" max="3" width="31" customWidth="1"/>
    <col min="4" max="4" width="12" customWidth="1"/>
    <col min="5" max="5" width="29" customWidth="1"/>
    <col min="6" max="6" width="12" customWidth="1"/>
    <col min="7" max="7" width="23" customWidth="1"/>
    <col min="8" max="8" width="12" customWidth="1"/>
    <col min="9" max="9" width="41" customWidth="1"/>
  </cols>
  <sheetData>
    <row r="1" ht="20.25" spans="1:9">
      <c r="A1" s="1" t="s">
        <v>155</v>
      </c>
    </row>
    <row r="3" spans="1:9">
      <c r="A3" s="2" t="s">
        <v>27</v>
      </c>
      <c r="B3" s="3"/>
      <c r="C3" s="2" t="s">
        <v>28</v>
      </c>
      <c r="D3" s="3"/>
      <c r="E3" s="2" t="s">
        <v>29</v>
      </c>
      <c r="F3" s="3"/>
      <c r="G3" s="2" t="s">
        <v>156</v>
      </c>
      <c r="H3" s="3"/>
      <c r="I3" s="2" t="s">
        <v>157</v>
      </c>
    </row>
    <row r="4" spans="1:9">
      <c r="A4" s="4" t="s">
        <v>40</v>
      </c>
      <c r="B4" s="3"/>
      <c r="C4" s="4" t="s">
        <v>75</v>
      </c>
      <c r="D4" s="3"/>
      <c r="E4" s="4" t="s">
        <v>12</v>
      </c>
      <c r="F4" s="3"/>
      <c r="G4" s="4" t="s">
        <v>13</v>
      </c>
      <c r="H4" s="3"/>
      <c r="I4" s="4" t="s">
        <v>51</v>
      </c>
    </row>
    <row r="5" spans="1:9">
      <c r="A5" s="4" t="s">
        <v>50</v>
      </c>
      <c r="B5" s="3"/>
      <c r="C5" s="4" t="s">
        <v>158</v>
      </c>
      <c r="D5" s="3"/>
      <c r="E5" s="4" t="s">
        <v>14</v>
      </c>
      <c r="F5" s="3"/>
      <c r="G5" s="4" t="s">
        <v>15</v>
      </c>
      <c r="H5" s="3"/>
      <c r="I5" s="4" t="s">
        <v>45</v>
      </c>
    </row>
    <row r="6" spans="1:9">
      <c r="A6" s="4" t="s">
        <v>79</v>
      </c>
      <c r="B6" s="3"/>
      <c r="C6" s="4" t="s">
        <v>159</v>
      </c>
      <c r="D6" s="3"/>
      <c r="E6" s="4" t="s">
        <v>16</v>
      </c>
      <c r="F6" s="3"/>
      <c r="G6" s="4" t="s">
        <v>17</v>
      </c>
      <c r="H6" s="3"/>
      <c r="I6" s="4" t="s">
        <v>113</v>
      </c>
    </row>
    <row r="7" spans="1:9">
      <c r="A7" s="4" t="s">
        <v>160</v>
      </c>
      <c r="B7" s="3"/>
      <c r="C7" s="4" t="s">
        <v>91</v>
      </c>
      <c r="D7" s="3"/>
      <c r="E7" s="4" t="s">
        <v>161</v>
      </c>
      <c r="F7" s="3"/>
      <c r="G7" s="4" t="s">
        <v>19</v>
      </c>
      <c r="H7" s="3"/>
      <c r="I7" s="4" t="s">
        <v>106</v>
      </c>
    </row>
    <row r="8" spans="1:9">
      <c r="A8" s="4" t="s">
        <v>60</v>
      </c>
      <c r="B8" s="3"/>
      <c r="C8" s="4" t="s">
        <v>96</v>
      </c>
      <c r="D8" s="3"/>
      <c r="E8" s="4" t="s">
        <v>162</v>
      </c>
      <c r="F8" s="3"/>
      <c r="G8" s="4" t="s">
        <v>21</v>
      </c>
      <c r="H8" s="3"/>
      <c r="I8" s="3"/>
    </row>
    <row r="9" spans="1:9">
      <c r="A9" s="4" t="s">
        <v>71</v>
      </c>
      <c r="B9" s="3"/>
      <c r="C9" s="4" t="s">
        <v>110</v>
      </c>
      <c r="D9" s="3"/>
      <c r="E9" s="4" t="s">
        <v>163</v>
      </c>
      <c r="F9" s="3"/>
      <c r="G9" s="3"/>
      <c r="H9" s="3"/>
      <c r="I9" s="3"/>
    </row>
    <row r="10" spans="1:9">
      <c r="A10" s="4" t="s">
        <v>119</v>
      </c>
      <c r="B10" s="3"/>
      <c r="C10" s="4" t="s">
        <v>41</v>
      </c>
      <c r="D10" s="3"/>
      <c r="E10" s="4" t="s">
        <v>18</v>
      </c>
      <c r="F10" s="3"/>
      <c r="G10" s="3"/>
      <c r="H10" s="3"/>
      <c r="I10" s="3"/>
    </row>
    <row r="11" spans="1:9">
      <c r="A11" s="4" t="s">
        <v>164</v>
      </c>
      <c r="B11" s="3"/>
      <c r="C11" s="4" t="s">
        <v>147</v>
      </c>
      <c r="D11" s="3"/>
      <c r="E11" s="3"/>
      <c r="F11" s="3"/>
      <c r="G11" s="3"/>
      <c r="H11" s="3"/>
      <c r="I11" s="3"/>
    </row>
    <row r="12" spans="1:9">
      <c r="A12" s="4" t="s">
        <v>138</v>
      </c>
      <c r="B12" s="3"/>
      <c r="C12" s="4" t="s">
        <v>84</v>
      </c>
      <c r="D12" s="3"/>
      <c r="E12" s="3"/>
      <c r="F12" s="3"/>
      <c r="G12" s="3"/>
      <c r="H12" s="3"/>
      <c r="I12" s="3"/>
    </row>
    <row r="13" spans="1:9">
      <c r="C13" s="5"/>
    </row>
    <row r="16" spans="1:9">
      <c r="C16" s="6"/>
    </row>
    <row r="18" spans="3:3">
      <c r="C18" s="6"/>
    </row>
    <row r="20" spans="3:3">
      <c r="C20" s="6"/>
    </row>
    <row r="22" spans="3:3">
      <c r="C22" s="7"/>
    </row>
    <row r="24" spans="3:3">
      <c r="C24" s="7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 &amp; Resumen</vt:lpstr>
      <vt:lpstr>Listado Maestro</vt:lpstr>
      <vt:lpstr>GUIA</vt:lpstr>
      <vt:lpstr>Listas de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</cp:lastModifiedBy>
  <dcterms:created xsi:type="dcterms:W3CDTF">2026-07-23T18:50:00Z</dcterms:created>
  <dcterms:modified xsi:type="dcterms:W3CDTF">2026-08-06T21:37:48Z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4F78ABA97BF5438F9D5E91B600DE843A_12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